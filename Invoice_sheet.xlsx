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4526B17-5A7D-4CD4-B493-7295C9506D7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ta sheet" sheetId="2" r:id="rId1"/>
    <sheet name="INVOICE SHE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C11" i="3"/>
  <c r="C12" i="3"/>
  <c r="C13" i="3"/>
  <c r="C14" i="3"/>
  <c r="C15" i="3"/>
  <c r="C16" i="3"/>
  <c r="G16" i="3" s="1"/>
  <c r="C17" i="3"/>
  <c r="G17" i="3" s="1"/>
  <c r="C18" i="3"/>
  <c r="C19" i="3"/>
  <c r="C20" i="3"/>
  <c r="G20" i="3" s="1"/>
  <c r="C21" i="3"/>
  <c r="G21" i="3" s="1"/>
  <c r="C22" i="3"/>
  <c r="C23" i="3"/>
  <c r="C24" i="3"/>
  <c r="G24" i="3" s="1"/>
  <c r="C10" i="3"/>
  <c r="E10" i="3"/>
  <c r="G15" i="3" l="1"/>
  <c r="G18" i="3"/>
  <c r="G23" i="3"/>
  <c r="G19" i="3"/>
  <c r="G12" i="3"/>
  <c r="G13" i="3"/>
  <c r="G11" i="3"/>
  <c r="G10" i="3"/>
  <c r="G22" i="3"/>
  <c r="G14" i="3"/>
  <c r="G25" i="3" l="1"/>
  <c r="G26" i="3" s="1"/>
  <c r="G27" i="3" s="1"/>
</calcChain>
</file>

<file path=xl/sharedStrings.xml><?xml version="1.0" encoding="utf-8"?>
<sst xmlns="http://schemas.openxmlformats.org/spreadsheetml/2006/main" count="35" uniqueCount="35">
  <si>
    <t>Item</t>
  </si>
  <si>
    <t>Quantity</t>
  </si>
  <si>
    <t>Rate (Rs)</t>
  </si>
  <si>
    <t>Notebook</t>
  </si>
  <si>
    <t>Ball Pen</t>
  </si>
  <si>
    <t>School Bag</t>
  </si>
  <si>
    <t>Water Bottle</t>
  </si>
  <si>
    <t>Geometry Box</t>
  </si>
  <si>
    <t>Calculator</t>
  </si>
  <si>
    <t>Pencil Box</t>
  </si>
  <si>
    <t>Highlighter Set</t>
  </si>
  <si>
    <t>Sketch Pens</t>
  </si>
  <si>
    <t>A4 Paper Ream</t>
  </si>
  <si>
    <t>Stapler</t>
  </si>
  <si>
    <t>Whiteboard Marker</t>
  </si>
  <si>
    <t>File Folder</t>
  </si>
  <si>
    <t>Scale (Ruler)</t>
  </si>
  <si>
    <t>Glue Stick</t>
  </si>
  <si>
    <t>Traders.pvt.Limited</t>
  </si>
  <si>
    <t>xyz, noida ,sec-23</t>
  </si>
  <si>
    <t>near suncity society</t>
  </si>
  <si>
    <t>DATE-</t>
  </si>
  <si>
    <t xml:space="preserve">NAME - </t>
  </si>
  <si>
    <t>CONTACT NO.-</t>
  </si>
  <si>
    <t>INVOICE NO. -</t>
  </si>
  <si>
    <t>EMAIL ID-</t>
  </si>
  <si>
    <t>ITEMS</t>
  </si>
  <si>
    <t>QUANTITY</t>
  </si>
  <si>
    <t>RATES (RS)</t>
  </si>
  <si>
    <t>AMOUNT(RS)</t>
  </si>
  <si>
    <t>SUBTOTAL</t>
  </si>
  <si>
    <t>GST(5%)</t>
  </si>
  <si>
    <t xml:space="preserve">  TOTAL</t>
  </si>
  <si>
    <t>SIGNATURE</t>
  </si>
  <si>
    <t>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</si>
</sst>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i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Border="1"/>
    <xf numFmtId="0" fontId="4" fillId="4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2" xfId="1" applyBorder="1"/>
    <xf numFmtId="0" fontId="0" fillId="0" borderId="2" xfId="0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0" fillId="0" borderId="0" xfId="0" applyBorder="1"/>
    <xf numFmtId="0" fontId="3" fillId="0" borderId="10" xfId="0" applyFont="1" applyBorder="1"/>
    <xf numFmtId="0" fontId="3" fillId="0" borderId="12" xfId="0" applyFont="1" applyBorder="1"/>
    <xf numFmtId="0" fontId="3" fillId="0" borderId="2" xfId="0" applyFont="1" applyBorder="1"/>
    <xf numFmtId="0" fontId="3" fillId="0" borderId="4" xfId="0" applyFont="1" applyBorder="1"/>
    <xf numFmtId="0" fontId="3" fillId="3" borderId="10" xfId="0" applyFont="1" applyFill="1" applyBorder="1"/>
    <xf numFmtId="0" fontId="3" fillId="3" borderId="1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F4778-58E4-44DB-8F03-04EB79925028}" name="Table1" displayName="Table1" ref="A1:C16" totalsRowShown="0">
  <autoFilter ref="A1:C16" xr:uid="{D81F4778-58E4-44DB-8F03-04EB79925028}"/>
  <tableColumns count="3">
    <tableColumn id="1" xr3:uid="{33E5FBC0-B4B4-4169-887D-592F38766BC6}" name="Item"/>
    <tableColumn id="2" xr3:uid="{02FE4B78-B587-40B8-95A9-9C68428824C5}" name="Quantity"/>
    <tableColumn id="3" xr3:uid="{266073F7-370A-48BC-9D53-752C0F676365}" name="Rate (R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E3D9-BA74-40C1-A34D-DDB488B59F11}">
  <sheetPr codeName="Sheet2"/>
  <dimension ref="A1:C16"/>
  <sheetViews>
    <sheetView workbookViewId="0">
      <selection activeCell="C1" sqref="C1"/>
    </sheetView>
  </sheetViews>
  <sheetFormatPr defaultRowHeight="15" x14ac:dyDescent="0.25"/>
  <cols>
    <col min="1" max="1" width="18.5703125" bestFit="1" customWidth="1"/>
    <col min="2" max="2" width="10.85546875" customWidth="1"/>
    <col min="3" max="3" width="1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</v>
      </c>
      <c r="C2">
        <v>40</v>
      </c>
    </row>
    <row r="3" spans="1:3" x14ac:dyDescent="0.25">
      <c r="A3" t="s">
        <v>4</v>
      </c>
      <c r="B3">
        <v>30</v>
      </c>
      <c r="C3">
        <v>10</v>
      </c>
    </row>
    <row r="4" spans="1:3" x14ac:dyDescent="0.25">
      <c r="A4" t="s">
        <v>5</v>
      </c>
      <c r="B4">
        <v>3</v>
      </c>
      <c r="C4">
        <v>550</v>
      </c>
    </row>
    <row r="5" spans="1:3" x14ac:dyDescent="0.25">
      <c r="A5" t="s">
        <v>6</v>
      </c>
      <c r="B5">
        <v>8</v>
      </c>
      <c r="C5">
        <v>120</v>
      </c>
    </row>
    <row r="6" spans="1:3" x14ac:dyDescent="0.25">
      <c r="A6" t="s">
        <v>7</v>
      </c>
      <c r="B6">
        <v>5</v>
      </c>
      <c r="C6">
        <v>90</v>
      </c>
    </row>
    <row r="7" spans="1:3" x14ac:dyDescent="0.25">
      <c r="A7" t="s">
        <v>8</v>
      </c>
      <c r="B7">
        <v>2</v>
      </c>
      <c r="C7">
        <v>350</v>
      </c>
    </row>
    <row r="8" spans="1:3" x14ac:dyDescent="0.25">
      <c r="A8" t="s">
        <v>9</v>
      </c>
      <c r="B8">
        <v>10</v>
      </c>
      <c r="C8">
        <v>60</v>
      </c>
    </row>
    <row r="9" spans="1:3" x14ac:dyDescent="0.25">
      <c r="A9" t="s">
        <v>10</v>
      </c>
      <c r="B9">
        <v>6</v>
      </c>
      <c r="C9">
        <v>85</v>
      </c>
    </row>
    <row r="10" spans="1:3" x14ac:dyDescent="0.25">
      <c r="A10" t="s">
        <v>11</v>
      </c>
      <c r="B10">
        <v>12</v>
      </c>
      <c r="C10">
        <v>45</v>
      </c>
    </row>
    <row r="11" spans="1:3" x14ac:dyDescent="0.25">
      <c r="A11" t="s">
        <v>12</v>
      </c>
      <c r="B11">
        <v>4</v>
      </c>
      <c r="C11">
        <v>280</v>
      </c>
    </row>
    <row r="12" spans="1:3" x14ac:dyDescent="0.25">
      <c r="A12" t="s">
        <v>13</v>
      </c>
      <c r="B12">
        <v>3</v>
      </c>
      <c r="C12">
        <v>150</v>
      </c>
    </row>
    <row r="13" spans="1:3" x14ac:dyDescent="0.25">
      <c r="A13" t="s">
        <v>14</v>
      </c>
      <c r="B13">
        <v>20</v>
      </c>
      <c r="C13">
        <v>15</v>
      </c>
    </row>
    <row r="14" spans="1:3" x14ac:dyDescent="0.25">
      <c r="A14" t="s">
        <v>15</v>
      </c>
      <c r="B14">
        <v>25</v>
      </c>
      <c r="C14">
        <v>20</v>
      </c>
    </row>
    <row r="15" spans="1:3" x14ac:dyDescent="0.25">
      <c r="A15" t="s">
        <v>16</v>
      </c>
      <c r="B15">
        <v>18</v>
      </c>
      <c r="C15">
        <v>12</v>
      </c>
    </row>
    <row r="16" spans="1:3" x14ac:dyDescent="0.25">
      <c r="A16" t="s">
        <v>17</v>
      </c>
      <c r="B16">
        <v>14</v>
      </c>
      <c r="C16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138E-C23E-4B35-B549-B7D6B77E5059}">
  <sheetPr codeName="Sheet3"/>
  <dimension ref="A1:I35"/>
  <sheetViews>
    <sheetView tabSelected="1" view="pageLayout" topLeftCell="A5" zoomScale="67" zoomScaleNormal="60" zoomScalePageLayoutView="67" workbookViewId="0">
      <selection activeCell="G14" sqref="G14:I14"/>
    </sheetView>
  </sheetViews>
  <sheetFormatPr defaultRowHeight="15" x14ac:dyDescent="0.25"/>
  <cols>
    <col min="1" max="1" width="15.140625" bestFit="1" customWidth="1"/>
    <col min="2" max="2" width="6.28515625" bestFit="1" customWidth="1"/>
    <col min="3" max="3" width="8.85546875" customWidth="1"/>
    <col min="4" max="4" width="7.140625" customWidth="1"/>
    <col min="5" max="5" width="11.140625" customWidth="1"/>
    <col min="6" max="6" width="6.28515625" bestFit="1" customWidth="1"/>
    <col min="7" max="7" width="12.7109375" bestFit="1" customWidth="1"/>
  </cols>
  <sheetData>
    <row r="1" spans="1:9" ht="18" x14ac:dyDescent="0.25">
      <c r="A1" s="6" t="s">
        <v>18</v>
      </c>
      <c r="B1" s="7"/>
      <c r="C1" s="7"/>
      <c r="D1" s="7"/>
      <c r="E1" s="7"/>
      <c r="F1" s="7"/>
      <c r="G1" s="7"/>
      <c r="H1" s="7"/>
      <c r="I1" s="8"/>
    </row>
    <row r="2" spans="1:9" ht="18" x14ac:dyDescent="0.25">
      <c r="A2" s="9" t="s">
        <v>19</v>
      </c>
      <c r="B2" s="10"/>
      <c r="C2" s="10"/>
      <c r="D2" s="10"/>
      <c r="E2" s="10"/>
      <c r="F2" s="10"/>
      <c r="G2" s="10"/>
      <c r="H2" s="10"/>
      <c r="I2" s="11"/>
    </row>
    <row r="3" spans="1:9" ht="1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4"/>
    </row>
    <row r="4" spans="1:9" ht="15.75" x14ac:dyDescent="0.25">
      <c r="A4" s="2" t="s">
        <v>24</v>
      </c>
      <c r="B4" s="15"/>
      <c r="C4" s="16"/>
      <c r="D4" s="16"/>
      <c r="E4" s="17"/>
      <c r="F4" s="1" t="s">
        <v>21</v>
      </c>
      <c r="G4" s="18"/>
      <c r="H4" s="19"/>
      <c r="I4" s="20"/>
    </row>
    <row r="5" spans="1:9" ht="15.75" x14ac:dyDescent="0.25">
      <c r="A5" s="2" t="s">
        <v>22</v>
      </c>
      <c r="B5" s="3"/>
      <c r="C5" s="4"/>
      <c r="D5" s="4"/>
      <c r="E5" s="4"/>
      <c r="F5" s="4"/>
      <c r="G5" s="4"/>
      <c r="H5" s="4"/>
      <c r="I5" s="5"/>
    </row>
    <row r="6" spans="1:9" ht="15.75" x14ac:dyDescent="0.25">
      <c r="A6" s="2" t="s">
        <v>23</v>
      </c>
      <c r="B6" s="23"/>
      <c r="C6" s="24"/>
      <c r="D6" s="24"/>
      <c r="E6" s="24"/>
      <c r="F6" s="24"/>
      <c r="G6" s="24"/>
      <c r="H6" s="24"/>
      <c r="I6" s="25"/>
    </row>
    <row r="7" spans="1:9" ht="15.75" x14ac:dyDescent="0.25">
      <c r="A7" s="2" t="s">
        <v>25</v>
      </c>
      <c r="B7" s="26"/>
      <c r="C7" s="4"/>
      <c r="D7" s="4"/>
      <c r="E7" s="4"/>
      <c r="F7" s="4"/>
      <c r="G7" s="4"/>
      <c r="H7" s="4"/>
      <c r="I7" s="5"/>
    </row>
    <row r="8" spans="1:9" x14ac:dyDescent="0.25">
      <c r="A8" s="27"/>
      <c r="B8" s="19"/>
      <c r="C8" s="19"/>
      <c r="D8" s="19"/>
      <c r="E8" s="19"/>
      <c r="F8" s="19"/>
      <c r="G8" s="19"/>
      <c r="H8" s="19"/>
      <c r="I8" s="20"/>
    </row>
    <row r="9" spans="1:9" ht="15.75" x14ac:dyDescent="0.25">
      <c r="A9" s="28" t="s">
        <v>26</v>
      </c>
      <c r="B9" s="29"/>
      <c r="C9" s="30" t="s">
        <v>27</v>
      </c>
      <c r="D9" s="31"/>
      <c r="E9" s="30" t="s">
        <v>28</v>
      </c>
      <c r="F9" s="31"/>
      <c r="G9" s="30" t="s">
        <v>29</v>
      </c>
      <c r="H9" s="32"/>
      <c r="I9" s="31"/>
    </row>
    <row r="10" spans="1:9" x14ac:dyDescent="0.25">
      <c r="A10" s="21"/>
      <c r="B10" s="22"/>
      <c r="C10" s="21" t="str">
        <f>IFERROR(VLOOKUP(A10,'Data sheet'!$A$2:$C$16,2,FALSE)," ")</f>
        <v xml:space="preserve"> </v>
      </c>
      <c r="D10" s="22"/>
      <c r="E10" s="21" t="str">
        <f>IFERROR(VLOOKUP(A10,'Data sheet'!$A$2:$C$16,3,0)," ")</f>
        <v xml:space="preserve"> </v>
      </c>
      <c r="F10" s="22"/>
      <c r="G10" s="21" t="str">
        <f>IFERROR(C10*E10,"  ")</f>
        <v xml:space="preserve">  </v>
      </c>
      <c r="H10" s="35"/>
      <c r="I10" s="22"/>
    </row>
    <row r="11" spans="1:9" x14ac:dyDescent="0.25">
      <c r="A11" s="21"/>
      <c r="B11" s="22"/>
      <c r="C11" s="21" t="str">
        <f>IFERROR(VLOOKUP(A11,'Data sheet'!$A$2:$C$16,2,FALSE)," ")</f>
        <v xml:space="preserve"> </v>
      </c>
      <c r="D11" s="22"/>
      <c r="E11" s="21" t="str">
        <f>IFERROR(VLOOKUP(A11,'Data sheet'!$A$2:$C$16,3,0)," ")</f>
        <v xml:space="preserve"> </v>
      </c>
      <c r="F11" s="22"/>
      <c r="G11" s="21" t="str">
        <f t="shared" ref="G11:G24" si="0">IFERROR(C11*E11,"  ")</f>
        <v xml:space="preserve">  </v>
      </c>
      <c r="H11" s="35"/>
      <c r="I11" s="22"/>
    </row>
    <row r="12" spans="1:9" x14ac:dyDescent="0.25">
      <c r="A12" s="21"/>
      <c r="B12" s="22"/>
      <c r="C12" s="21" t="str">
        <f>IFERROR(VLOOKUP(A12,'Data sheet'!$A$2:$C$16,2,FALSE)," ")</f>
        <v xml:space="preserve"> </v>
      </c>
      <c r="D12" s="22"/>
      <c r="E12" s="21" t="str">
        <f>IFERROR(VLOOKUP(A12,'Data sheet'!$A$2:$C$16,3,0)," ")</f>
        <v xml:space="preserve"> </v>
      </c>
      <c r="F12" s="22"/>
      <c r="G12" s="21" t="str">
        <f t="shared" si="0"/>
        <v xml:space="preserve">  </v>
      </c>
      <c r="H12" s="35"/>
      <c r="I12" s="22"/>
    </row>
    <row r="13" spans="1:9" x14ac:dyDescent="0.25">
      <c r="A13" s="21"/>
      <c r="B13" s="22"/>
      <c r="C13" s="21" t="str">
        <f>IFERROR(VLOOKUP(A13,'Data sheet'!$A$2:$C$16,2,FALSE)," ")</f>
        <v xml:space="preserve"> </v>
      </c>
      <c r="D13" s="22"/>
      <c r="E13" s="21" t="str">
        <f>IFERROR(VLOOKUP(A13,'Data sheet'!$A$2:$C$16,3,0)," ")</f>
        <v xml:space="preserve"> </v>
      </c>
      <c r="F13" s="22"/>
      <c r="G13" s="21" t="str">
        <f t="shared" si="0"/>
        <v xml:space="preserve">  </v>
      </c>
      <c r="H13" s="35"/>
      <c r="I13" s="22"/>
    </row>
    <row r="14" spans="1:9" x14ac:dyDescent="0.25">
      <c r="A14" s="21"/>
      <c r="B14" s="22"/>
      <c r="C14" s="21" t="str">
        <f>IFERROR(VLOOKUP(A14,'Data sheet'!$A$2:$C$16,2,FALSE)," ")</f>
        <v xml:space="preserve"> </v>
      </c>
      <c r="D14" s="22"/>
      <c r="E14" s="21" t="str">
        <f>IFERROR(VLOOKUP(A14,'Data sheet'!$A$2:$C$16,3,0)," ")</f>
        <v xml:space="preserve"> </v>
      </c>
      <c r="F14" s="22"/>
      <c r="G14" s="21" t="str">
        <f t="shared" si="0"/>
        <v xml:space="preserve">  </v>
      </c>
      <c r="H14" s="35"/>
      <c r="I14" s="22"/>
    </row>
    <row r="15" spans="1:9" x14ac:dyDescent="0.25">
      <c r="A15" s="21"/>
      <c r="B15" s="22"/>
      <c r="C15" s="21" t="str">
        <f>IFERROR(VLOOKUP(A15,'Data sheet'!$A$2:$C$16,2,FALSE)," ")</f>
        <v xml:space="preserve"> </v>
      </c>
      <c r="D15" s="22"/>
      <c r="E15" s="21" t="str">
        <f>IFERROR(VLOOKUP(A15,'Data sheet'!$A$2:$C$16,3,0)," ")</f>
        <v xml:space="preserve"> </v>
      </c>
      <c r="F15" s="22"/>
      <c r="G15" s="21" t="str">
        <f t="shared" ref="G15" si="1">IFERROR(C15*E15,"  ")</f>
        <v xml:space="preserve">  </v>
      </c>
      <c r="H15" s="35"/>
      <c r="I15" s="22"/>
    </row>
    <row r="16" spans="1:9" x14ac:dyDescent="0.25">
      <c r="A16" s="21"/>
      <c r="B16" s="22"/>
      <c r="C16" s="21" t="str">
        <f>IFERROR(VLOOKUP(A16,'Data sheet'!$A$2:$C$16,2,FALSE)," ")</f>
        <v xml:space="preserve"> </v>
      </c>
      <c r="D16" s="22"/>
      <c r="E16" s="21" t="str">
        <f>IFERROR(VLOOKUP(A16,'Data sheet'!$A$2:$C$16,3,0)," ")</f>
        <v xml:space="preserve"> </v>
      </c>
      <c r="F16" s="22"/>
      <c r="G16" s="21" t="str">
        <f t="shared" si="0"/>
        <v xml:space="preserve">  </v>
      </c>
      <c r="H16" s="35"/>
      <c r="I16" s="22"/>
    </row>
    <row r="17" spans="1:9" x14ac:dyDescent="0.25">
      <c r="A17" s="21"/>
      <c r="B17" s="22"/>
      <c r="C17" s="21" t="str">
        <f>IFERROR(VLOOKUP(A17,'Data sheet'!$A$2:$C$16,2,FALSE)," ")</f>
        <v xml:space="preserve"> </v>
      </c>
      <c r="D17" s="22"/>
      <c r="E17" s="21" t="str">
        <f>IFERROR(VLOOKUP(A17,'Data sheet'!$A$2:$C$16,3,0)," ")</f>
        <v xml:space="preserve"> </v>
      </c>
      <c r="F17" s="22"/>
      <c r="G17" s="21" t="str">
        <f t="shared" si="0"/>
        <v xml:space="preserve">  </v>
      </c>
      <c r="H17" s="35"/>
      <c r="I17" s="22"/>
    </row>
    <row r="18" spans="1:9" x14ac:dyDescent="0.25">
      <c r="A18" s="21"/>
      <c r="B18" s="22"/>
      <c r="C18" s="21" t="str">
        <f>IFERROR(VLOOKUP(A18,'Data sheet'!$A$2:$C$16,2,FALSE)," ")</f>
        <v xml:space="preserve"> </v>
      </c>
      <c r="D18" s="22"/>
      <c r="E18" s="21" t="str">
        <f>IFERROR(VLOOKUP(A18,'Data sheet'!$A$2:$C$16,3,0)," ")</f>
        <v xml:space="preserve"> </v>
      </c>
      <c r="F18" s="22"/>
      <c r="G18" s="21" t="str">
        <f t="shared" si="0"/>
        <v xml:space="preserve">  </v>
      </c>
      <c r="H18" s="35"/>
      <c r="I18" s="22"/>
    </row>
    <row r="19" spans="1:9" x14ac:dyDescent="0.25">
      <c r="A19" s="21"/>
      <c r="B19" s="22"/>
      <c r="C19" s="21" t="str">
        <f>IFERROR(VLOOKUP(A19,'Data sheet'!$A$2:$C$16,2,FALSE)," ")</f>
        <v xml:space="preserve"> </v>
      </c>
      <c r="D19" s="22"/>
      <c r="E19" s="21" t="str">
        <f>IFERROR(VLOOKUP(A19,'Data sheet'!$A$2:$C$16,3,0)," ")</f>
        <v xml:space="preserve"> </v>
      </c>
      <c r="F19" s="22"/>
      <c r="G19" s="21" t="str">
        <f t="shared" si="0"/>
        <v xml:space="preserve">  </v>
      </c>
      <c r="H19" s="35"/>
      <c r="I19" s="22"/>
    </row>
    <row r="20" spans="1:9" x14ac:dyDescent="0.25">
      <c r="A20" s="21"/>
      <c r="B20" s="22"/>
      <c r="C20" s="21" t="str">
        <f>IFERROR(VLOOKUP(A20,'Data sheet'!$A$2:$C$16,2,FALSE)," ")</f>
        <v xml:space="preserve"> </v>
      </c>
      <c r="D20" s="22"/>
      <c r="E20" s="21" t="str">
        <f>IFERROR(VLOOKUP(A20,'Data sheet'!$A$2:$C$16,3,0)," ")</f>
        <v xml:space="preserve"> </v>
      </c>
      <c r="F20" s="22"/>
      <c r="G20" s="21" t="str">
        <f t="shared" si="0"/>
        <v xml:space="preserve">  </v>
      </c>
      <c r="H20" s="35"/>
      <c r="I20" s="22"/>
    </row>
    <row r="21" spans="1:9" x14ac:dyDescent="0.25">
      <c r="A21" s="21"/>
      <c r="B21" s="22"/>
      <c r="C21" s="21" t="str">
        <f>IFERROR(VLOOKUP(A21,'Data sheet'!$A$2:$C$16,2,FALSE)," ")</f>
        <v xml:space="preserve"> </v>
      </c>
      <c r="D21" s="22"/>
      <c r="E21" s="21" t="str">
        <f>IFERROR(VLOOKUP(A21,'Data sheet'!$A$2:$C$16,3,0)," ")</f>
        <v xml:space="preserve"> </v>
      </c>
      <c r="F21" s="22"/>
      <c r="G21" s="21" t="str">
        <f t="shared" si="0"/>
        <v xml:space="preserve">  </v>
      </c>
      <c r="H21" s="35"/>
      <c r="I21" s="22"/>
    </row>
    <row r="22" spans="1:9" x14ac:dyDescent="0.25">
      <c r="A22" s="21"/>
      <c r="B22" s="22"/>
      <c r="C22" s="21" t="str">
        <f>IFERROR(VLOOKUP(A22,'Data sheet'!$A$2:$C$16,2,FALSE)," ")</f>
        <v xml:space="preserve"> </v>
      </c>
      <c r="D22" s="22"/>
      <c r="E22" s="21" t="str">
        <f>IFERROR(VLOOKUP(A22,'Data sheet'!$A$2:$C$16,3,0)," ")</f>
        <v xml:space="preserve"> </v>
      </c>
      <c r="F22" s="22"/>
      <c r="G22" s="21" t="str">
        <f t="shared" si="0"/>
        <v xml:space="preserve">  </v>
      </c>
      <c r="H22" s="35"/>
      <c r="I22" s="22"/>
    </row>
    <row r="23" spans="1:9" x14ac:dyDescent="0.25">
      <c r="A23" s="21"/>
      <c r="B23" s="22"/>
      <c r="C23" s="21" t="str">
        <f>IFERROR(VLOOKUP(A23,'Data sheet'!$A$2:$C$16,2,FALSE)," ")</f>
        <v xml:space="preserve"> </v>
      </c>
      <c r="D23" s="22"/>
      <c r="E23" s="21" t="str">
        <f>IFERROR(VLOOKUP(A23,'Data sheet'!$A$2:$C$16,3,0)," ")</f>
        <v xml:space="preserve"> </v>
      </c>
      <c r="F23" s="22"/>
      <c r="G23" s="21" t="str">
        <f t="shared" si="0"/>
        <v xml:space="preserve">  </v>
      </c>
      <c r="H23" s="35"/>
      <c r="I23" s="22"/>
    </row>
    <row r="24" spans="1:9" x14ac:dyDescent="0.25">
      <c r="A24" s="33"/>
      <c r="B24" s="34"/>
      <c r="C24" s="33" t="str">
        <f>IFERROR(VLOOKUP(A24,'Data sheet'!$A$2:$C$16,2,FALSE)," ")</f>
        <v xml:space="preserve"> </v>
      </c>
      <c r="D24" s="34"/>
      <c r="E24" s="33" t="str">
        <f>IFERROR(VLOOKUP(A24,'Data sheet'!$A$2:$C$16,3,0)," ")</f>
        <v xml:space="preserve"> </v>
      </c>
      <c r="F24" s="34"/>
      <c r="G24" s="21" t="str">
        <f t="shared" si="0"/>
        <v xml:space="preserve">  </v>
      </c>
      <c r="H24" s="35"/>
      <c r="I24" s="22"/>
    </row>
    <row r="25" spans="1:9" ht="15.75" x14ac:dyDescent="0.25">
      <c r="A25" s="47"/>
      <c r="B25" s="48"/>
      <c r="C25" s="48"/>
      <c r="D25" s="48"/>
      <c r="E25" s="36" t="s">
        <v>30</v>
      </c>
      <c r="F25" s="37"/>
      <c r="G25" s="3">
        <f>SUM(G10:I24)</f>
        <v>0</v>
      </c>
      <c r="H25" s="4"/>
      <c r="I25" s="5"/>
    </row>
    <row r="26" spans="1:9" ht="15.75" x14ac:dyDescent="0.25">
      <c r="A26" s="15"/>
      <c r="B26" s="16"/>
      <c r="C26" s="16"/>
      <c r="D26" s="16"/>
      <c r="E26" s="38" t="s">
        <v>31</v>
      </c>
      <c r="F26" s="39"/>
      <c r="G26" s="3">
        <f>G25*5%</f>
        <v>0</v>
      </c>
      <c r="H26" s="4"/>
      <c r="I26" s="5"/>
    </row>
    <row r="27" spans="1:9" ht="15.75" x14ac:dyDescent="0.25">
      <c r="A27" s="15"/>
      <c r="B27" s="16"/>
      <c r="C27" s="16"/>
      <c r="D27" s="16"/>
      <c r="E27" s="40" t="s">
        <v>32</v>
      </c>
      <c r="F27" s="41"/>
      <c r="G27" s="42">
        <f>G26+G25</f>
        <v>0</v>
      </c>
      <c r="H27" s="43"/>
      <c r="I27" s="44"/>
    </row>
    <row r="28" spans="1:9" x14ac:dyDescent="0.25">
      <c r="A28" s="15"/>
      <c r="B28" s="16"/>
      <c r="C28" s="16"/>
      <c r="D28" s="16"/>
      <c r="E28" s="48"/>
      <c r="F28" s="48"/>
      <c r="G28" s="48"/>
      <c r="H28" s="48"/>
      <c r="I28" s="49"/>
    </row>
    <row r="29" spans="1:9" x14ac:dyDescent="0.25">
      <c r="A29" s="15"/>
      <c r="B29" s="16"/>
      <c r="C29" s="16"/>
      <c r="D29" s="16"/>
      <c r="E29" s="16"/>
      <c r="F29" s="16"/>
      <c r="G29" s="16"/>
      <c r="H29" s="16"/>
      <c r="I29" s="17"/>
    </row>
    <row r="30" spans="1:9" x14ac:dyDescent="0.25">
      <c r="A30" s="15"/>
      <c r="B30" s="16"/>
      <c r="C30" s="16"/>
      <c r="D30" s="16"/>
      <c r="E30" s="16"/>
      <c r="F30" s="16"/>
      <c r="G30" s="16"/>
      <c r="H30" s="16"/>
      <c r="I30" s="17"/>
    </row>
    <row r="31" spans="1:9" ht="15.75" x14ac:dyDescent="0.25">
      <c r="A31" s="50" t="s">
        <v>33</v>
      </c>
      <c r="B31" s="51"/>
      <c r="C31" s="16"/>
      <c r="D31" s="16"/>
      <c r="E31" s="16"/>
      <c r="F31" s="16"/>
      <c r="G31" s="16"/>
      <c r="H31" s="16"/>
      <c r="I31" s="17"/>
    </row>
    <row r="32" spans="1:9" x14ac:dyDescent="0.25">
      <c r="A32" s="15" t="s">
        <v>34</v>
      </c>
      <c r="B32" s="16"/>
      <c r="C32" s="16"/>
      <c r="D32" s="16"/>
      <c r="E32" s="16"/>
      <c r="F32" s="16"/>
      <c r="G32" s="16"/>
      <c r="H32" s="16"/>
      <c r="I32" s="17"/>
    </row>
    <row r="33" spans="1:9" x14ac:dyDescent="0.25">
      <c r="A33" s="15"/>
      <c r="B33" s="16"/>
      <c r="C33" s="16"/>
      <c r="D33" s="16"/>
      <c r="E33" s="16"/>
      <c r="F33" s="16"/>
      <c r="G33" s="16"/>
      <c r="H33" s="16"/>
      <c r="I33" s="17"/>
    </row>
    <row r="34" spans="1:9" x14ac:dyDescent="0.25">
      <c r="A34" s="15"/>
      <c r="B34" s="16"/>
      <c r="C34" s="16"/>
      <c r="D34" s="16"/>
      <c r="E34" s="16"/>
      <c r="F34" s="16"/>
      <c r="G34" s="16"/>
      <c r="H34" s="16"/>
      <c r="I34" s="17"/>
    </row>
    <row r="35" spans="1:9" x14ac:dyDescent="0.25">
      <c r="A35" s="52"/>
      <c r="B35" s="45"/>
      <c r="C35" s="45"/>
      <c r="D35" s="45"/>
      <c r="E35" s="45"/>
      <c r="F35" s="45"/>
      <c r="G35" s="45"/>
      <c r="H35" s="45"/>
      <c r="I35" s="46"/>
    </row>
  </sheetData>
  <mergeCells count="86">
    <mergeCell ref="G11:I11"/>
    <mergeCell ref="G25:I25"/>
    <mergeCell ref="G26:I26"/>
    <mergeCell ref="G27:I27"/>
    <mergeCell ref="G16:I16"/>
    <mergeCell ref="G17:I17"/>
    <mergeCell ref="G18:I18"/>
    <mergeCell ref="G19:I19"/>
    <mergeCell ref="G20:I20"/>
    <mergeCell ref="G21:I21"/>
    <mergeCell ref="G22:I22"/>
    <mergeCell ref="G23:I23"/>
    <mergeCell ref="G14:I14"/>
    <mergeCell ref="G15:I15"/>
    <mergeCell ref="A32:B33"/>
    <mergeCell ref="E25:F25"/>
    <mergeCell ref="E26:F26"/>
    <mergeCell ref="E27:F27"/>
    <mergeCell ref="C29:I35"/>
    <mergeCell ref="A25:D28"/>
    <mergeCell ref="E28:I28"/>
    <mergeCell ref="A29:B30"/>
    <mergeCell ref="A31:B31"/>
    <mergeCell ref="A34:B35"/>
    <mergeCell ref="G24:I24"/>
    <mergeCell ref="E24:F24"/>
    <mergeCell ref="E18:F18"/>
    <mergeCell ref="E19:F19"/>
    <mergeCell ref="E20:F20"/>
    <mergeCell ref="E21:F21"/>
    <mergeCell ref="E22:F22"/>
    <mergeCell ref="E23:F23"/>
    <mergeCell ref="C23:D23"/>
    <mergeCell ref="C24:D24"/>
    <mergeCell ref="E10:F10"/>
    <mergeCell ref="E11:F11"/>
    <mergeCell ref="E12:F12"/>
    <mergeCell ref="E13:F13"/>
    <mergeCell ref="E14:F14"/>
    <mergeCell ref="E15:F15"/>
    <mergeCell ref="E16:F16"/>
    <mergeCell ref="E17:F17"/>
    <mergeCell ref="C17:D17"/>
    <mergeCell ref="C18:D18"/>
    <mergeCell ref="C19:D19"/>
    <mergeCell ref="C20:D20"/>
    <mergeCell ref="C21:D21"/>
    <mergeCell ref="C22:D22"/>
    <mergeCell ref="A22:B22"/>
    <mergeCell ref="A23:B23"/>
    <mergeCell ref="A24:B24"/>
    <mergeCell ref="C10:D10"/>
    <mergeCell ref="C11:D11"/>
    <mergeCell ref="C12:D12"/>
    <mergeCell ref="C13:D13"/>
    <mergeCell ref="C14:D14"/>
    <mergeCell ref="C15:D15"/>
    <mergeCell ref="C16:D16"/>
    <mergeCell ref="A16:B16"/>
    <mergeCell ref="A17:B17"/>
    <mergeCell ref="A18:B18"/>
    <mergeCell ref="A19:B19"/>
    <mergeCell ref="A20:B20"/>
    <mergeCell ref="A21:B21"/>
    <mergeCell ref="A15:B15"/>
    <mergeCell ref="B6:I6"/>
    <mergeCell ref="B7:I7"/>
    <mergeCell ref="A8:I8"/>
    <mergeCell ref="A9:B9"/>
    <mergeCell ref="C9:D9"/>
    <mergeCell ref="E9:F9"/>
    <mergeCell ref="G9:I9"/>
    <mergeCell ref="A10:B10"/>
    <mergeCell ref="A11:B11"/>
    <mergeCell ref="A12:B12"/>
    <mergeCell ref="A13:B13"/>
    <mergeCell ref="A14:B14"/>
    <mergeCell ref="G10:I10"/>
    <mergeCell ref="G12:I12"/>
    <mergeCell ref="G13:I13"/>
    <mergeCell ref="B5:I5"/>
    <mergeCell ref="A1:I1"/>
    <mergeCell ref="A2:I2"/>
    <mergeCell ref="A3:I3"/>
    <mergeCell ref="B4:E4"/>
    <mergeCell ref="G4:I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C646C9-4E52-4DE1-A3C6-70ACD5927A84}">
          <x14:formula1>
            <xm:f>'Data sheet'!$A$2:$A$16</xm:f>
          </x14:formula1>
          <xm:sqref>A10:B24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INVOICE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negi</cp:lastModifiedBy>
  <cp:lastPrinted>2026-09-25T15:44:59Z</cp:lastPrinted>
  <dcterms:created xsi:type="dcterms:W3CDTF">2026-09-25T07:09:27Z</dcterms:created>
  <dcterms:modified xsi:type="dcterms:W3CDTF">2026-09-29T06:35:30Z</dcterms:modified>
</cp:coreProperties>
</file>